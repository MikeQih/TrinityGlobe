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hengchangqi/Documents/Singapore/Plan &amp; Note Internship/Part Time/WeChatProjects/TrinityGlobe/resources/"/>
    </mc:Choice>
  </mc:AlternateContent>
  <xr:revisionPtr revIDLastSave="0" documentId="13_ncr:1_{667BAD5D-F3F2-CF44-A32D-D9B5670F6002}" xr6:coauthVersionLast="47" xr6:coauthVersionMax="47" xr10:uidLastSave="{00000000-0000-0000-0000-000000000000}"/>
  <bookViews>
    <workbookView xWindow="6820" yWindow="1000" windowWidth="28800" windowHeight="165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3" i="1" l="1"/>
  <c r="H52" i="1"/>
  <c r="H49" i="1"/>
  <c r="H50" i="1"/>
  <c r="H51" i="1"/>
  <c r="H48" i="1"/>
  <c r="H41" i="1"/>
  <c r="H42" i="1"/>
  <c r="H43" i="1"/>
  <c r="H44" i="1"/>
  <c r="H45" i="1"/>
  <c r="H46" i="1"/>
  <c r="H47" i="1"/>
  <c r="H40" i="1"/>
  <c r="H37" i="1"/>
  <c r="H38" i="1"/>
  <c r="H36" i="1"/>
  <c r="H34" i="1"/>
  <c r="H35" i="1"/>
  <c r="H33" i="1"/>
  <c r="H27" i="1"/>
  <c r="H28" i="1"/>
  <c r="H29" i="1"/>
  <c r="H30" i="1"/>
  <c r="H31" i="1"/>
  <c r="H32" i="1"/>
  <c r="H26" i="1"/>
</calcChain>
</file>

<file path=xl/sharedStrings.xml><?xml version="1.0" encoding="utf-8"?>
<sst xmlns="http://schemas.openxmlformats.org/spreadsheetml/2006/main" count="88" uniqueCount="88">
  <si>
    <t>产品名称</t>
  </si>
  <si>
    <t>Lazada</t>
  </si>
  <si>
    <t>Shopee</t>
  </si>
  <si>
    <t>【苏格兰威士忌】</t>
  </si>
  <si>
    <t>Macallan 12 Double</t>
  </si>
  <si>
    <t>Macallan 12 Sherry</t>
  </si>
  <si>
    <t>Macallan 15 Double</t>
  </si>
  <si>
    <t>Macallan 18 Double</t>
  </si>
  <si>
    <t>Macallan 18 Sherry</t>
  </si>
  <si>
    <t>Macallan 25 Sherry</t>
  </si>
  <si>
    <t>Macallan 30 Double</t>
  </si>
  <si>
    <t>Macallan 30 Sherry</t>
  </si>
  <si>
    <t>【日本威士忌】</t>
  </si>
  <si>
    <t>Hibiki Harmony</t>
  </si>
  <si>
    <t>Yamazaki 12</t>
  </si>
  <si>
    <t>Yamazaki 18</t>
  </si>
  <si>
    <t>【干邑白兰地】</t>
  </si>
  <si>
    <t>Hennessy V.S.O.P</t>
  </si>
  <si>
    <t>Hennessy XO</t>
  </si>
  <si>
    <t>Hennessy Paradis</t>
  </si>
  <si>
    <t>Martell V.S.O.P</t>
  </si>
  <si>
    <t>Martell Cordon Bleu</t>
  </si>
  <si>
    <t>Gaulois XO 1L</t>
  </si>
  <si>
    <t>GAVO XO 炫彩版 700ML</t>
  </si>
  <si>
    <t>【汾酒系列】</t>
  </si>
  <si>
    <t>玻璃汾</t>
  </si>
  <si>
    <t>汾酒10</t>
  </si>
  <si>
    <t>竹叶青10</t>
  </si>
  <si>
    <t>巴拿马1915</t>
  </si>
  <si>
    <t>青花20</t>
  </si>
  <si>
    <t>青花30（48% Vol）</t>
  </si>
  <si>
    <t>陈酿30</t>
  </si>
  <si>
    <t>青花30（53% Vol）</t>
  </si>
  <si>
    <t>青花50</t>
  </si>
  <si>
    <t>复兴版青花30</t>
  </si>
  <si>
    <t>玫瑰汾酒</t>
  </si>
  <si>
    <t>竹叶青（限量版）</t>
  </si>
  <si>
    <t>丝绸之路</t>
  </si>
  <si>
    <t>【洋河系列】</t>
  </si>
  <si>
    <t>洋河大曲新天蓝</t>
  </si>
  <si>
    <t>微分子 33.8%</t>
  </si>
  <si>
    <t>蓝色经典 42%</t>
  </si>
  <si>
    <t>蓝色经典 52%</t>
  </si>
  <si>
    <t>海之蓝 42% 480ml</t>
  </si>
  <si>
    <t>海之蓝 52% 480ml</t>
  </si>
  <si>
    <t>天之蓝 42% 500ml</t>
  </si>
  <si>
    <t>天之蓝 52% 500ml</t>
  </si>
  <si>
    <t>梦之蓝水晶版 40.8%</t>
  </si>
  <si>
    <t>梦之蓝水晶版 52%</t>
  </si>
  <si>
    <t>梦之蓝 M6+ 40.8%</t>
  </si>
  <si>
    <t>梦之蓝 M6+ 52%</t>
  </si>
  <si>
    <t>梦之蓝 M9</t>
  </si>
  <si>
    <t xml:space="preserve">梦之蓝手工班 </t>
  </si>
  <si>
    <t>【中国白酒】</t>
  </si>
  <si>
    <t>剑南春东方红</t>
  </si>
  <si>
    <t>剑南春青铜记</t>
  </si>
  <si>
    <t>泸州鉴藏 A8</t>
  </si>
  <si>
    <t>Guojiao 1573</t>
  </si>
  <si>
    <t>Wuliangye</t>
  </si>
  <si>
    <t>飞天茅台</t>
  </si>
  <si>
    <t>精品茅台</t>
  </si>
  <si>
    <t>茅台15年</t>
  </si>
  <si>
    <t>茅台30年</t>
  </si>
  <si>
    <t>茅台50年</t>
  </si>
  <si>
    <t>【香槟/红酒/sake】</t>
  </si>
  <si>
    <t>Dom Perignon 2013</t>
  </si>
  <si>
    <t>Dom Perignon 2015</t>
  </si>
  <si>
    <t>Louis Roederer Cristal 2014 Champagne 750ml With Box</t>
  </si>
  <si>
    <t>Perrier Jouet</t>
  </si>
  <si>
    <t>Penfolds 389 礼盒版</t>
  </si>
  <si>
    <t>Penfolds 407</t>
  </si>
  <si>
    <t>IT Extroso Appassimento Rosso Puglia IGT</t>
  </si>
  <si>
    <t>Sella &amp; Mosca Vermentino di Gallura Superiore Monteoro 2020</t>
  </si>
  <si>
    <t>BLUE DASH 730ML</t>
  </si>
  <si>
    <t xml:space="preserve"> Dassai 23 Junmai Daiginjo Sake 1.8L</t>
  </si>
  <si>
    <t>十四代 本丸 特別本釀造1.8L</t>
  </si>
  <si>
    <t>十四代 中取り 無濾過 純米1.8L</t>
  </si>
  <si>
    <t>十四代 嚴選中取無濾過 純米吟釀 1.8L</t>
  </si>
  <si>
    <t>十四代 中取 播州山田錦 純米吟釀 1.8L</t>
  </si>
  <si>
    <t xml:space="preserve">HAPPY BREW 嗨啤精酿 / 罐 /500ml </t>
  </si>
  <si>
    <t>主推 回收 计划 易拉罐</t>
  </si>
  <si>
    <t>HAPPY BREW 嗨啤精酿 / 24瓶一箱</t>
  </si>
  <si>
    <t>网店价格</t>
    <phoneticPr fontId="2" type="noConversion"/>
  </si>
  <si>
    <t>网站单瓶价格</t>
    <phoneticPr fontId="2" type="noConversion"/>
  </si>
  <si>
    <t>网站一箱价格</t>
    <phoneticPr fontId="2" type="noConversion"/>
  </si>
  <si>
    <t>网站五箱价格</t>
    <phoneticPr fontId="2" type="noConversion"/>
  </si>
  <si>
    <t>Hibiki Limited 21</t>
    <phoneticPr fontId="2" type="noConversion"/>
  </si>
  <si>
    <t>hibiki 樱花限定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</si>
</sst>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Microsoft YaHei"/>
    </font>
    <font>
      <sz val="12"/>
      <name val="Microsoft YaHei"/>
      <family val="2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8CDDFA"/>
        <bgColor auto="1"/>
      </patternFill>
    </fill>
    <fill>
      <patternFill patternType="solid">
        <fgColor rgb="FFFFEEAD"/>
        <bgColor auto="1"/>
      </patternFill>
    </fill>
    <fill>
      <patternFill patternType="solid">
        <fgColor rgb="FFC3EAD5"/>
        <bgColor auto="1"/>
      </patternFill>
    </fill>
    <fill>
      <patternFill patternType="solid">
        <fgColor rgb="FFD8D8D8"/>
        <bgColor auto="1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8"/>
  <sheetViews>
    <sheetView tabSelected="1" topLeftCell="A13" zoomScaleNormal="100" workbookViewId="0">
      <selection activeCell="C27" sqref="C27"/>
    </sheetView>
  </sheetViews>
  <sheetFormatPr baseColWidth="10" defaultColWidth="13.7109375" defaultRowHeight="18" customHeight="1"/>
  <cols>
    <col min="1" max="1" width="13.7109375" customWidth="1"/>
    <col min="2" max="2" width="16.7109375" customWidth="1"/>
    <col min="3" max="5" width="13.7109375" customWidth="1"/>
    <col min="6" max="6" width="21.5703125" customWidth="1"/>
    <col min="7" max="25" width="13.7109375" customWidth="1"/>
  </cols>
  <sheetData>
    <row r="1" spans="1:25" ht="18" customHeight="1">
      <c r="A1" s="8" t="s">
        <v>0</v>
      </c>
      <c r="B1" s="9"/>
      <c r="C1" s="1" t="s">
        <v>1</v>
      </c>
      <c r="D1" s="1" t="s">
        <v>2</v>
      </c>
      <c r="E1" s="6" t="s">
        <v>82</v>
      </c>
      <c r="F1" s="6"/>
      <c r="G1" s="6" t="s">
        <v>83</v>
      </c>
      <c r="H1" s="6" t="s">
        <v>84</v>
      </c>
      <c r="I1" s="6" t="s">
        <v>85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 customHeight="1">
      <c r="A2" s="10" t="s">
        <v>3</v>
      </c>
      <c r="B2" s="9"/>
      <c r="C2" s="3"/>
      <c r="D2" s="3"/>
      <c r="E2" s="3"/>
      <c r="F2" s="3"/>
      <c r="G2" s="3"/>
      <c r="H2" s="3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 customHeight="1">
      <c r="A3" s="11" t="s">
        <v>4</v>
      </c>
      <c r="B3" s="9"/>
      <c r="C3" s="2"/>
      <c r="D3" s="2">
        <v>131</v>
      </c>
      <c r="E3" s="4">
        <v>129</v>
      </c>
      <c r="F3" s="2"/>
      <c r="G3" s="2">
        <v>129</v>
      </c>
      <c r="H3" s="2">
        <v>125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8" customHeight="1">
      <c r="A4" s="11" t="s">
        <v>5</v>
      </c>
      <c r="B4" s="9"/>
      <c r="C4" s="2"/>
      <c r="D4" s="2">
        <v>147</v>
      </c>
      <c r="E4" s="2">
        <v>145</v>
      </c>
      <c r="F4" s="2"/>
      <c r="G4" s="2">
        <v>145</v>
      </c>
      <c r="H4" s="2">
        <v>140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8" customHeight="1">
      <c r="A5" s="11" t="s">
        <v>6</v>
      </c>
      <c r="B5" s="9"/>
      <c r="C5" s="2"/>
      <c r="D5" s="2">
        <v>240</v>
      </c>
      <c r="E5" s="2">
        <v>235</v>
      </c>
      <c r="F5" s="2"/>
      <c r="G5" s="2">
        <v>235</v>
      </c>
      <c r="H5" s="2">
        <v>225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8" customHeight="1">
      <c r="A6" s="11" t="s">
        <v>7</v>
      </c>
      <c r="B6" s="9"/>
      <c r="C6" s="2"/>
      <c r="D6" s="2">
        <v>448</v>
      </c>
      <c r="E6" s="2">
        <v>445</v>
      </c>
      <c r="F6" s="2"/>
      <c r="G6" s="2">
        <v>445</v>
      </c>
      <c r="H6" s="2">
        <v>430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8" customHeight="1">
      <c r="A7" s="11" t="s">
        <v>8</v>
      </c>
      <c r="B7" s="9"/>
      <c r="C7" s="2"/>
      <c r="D7" s="2">
        <v>540</v>
      </c>
      <c r="E7" s="4">
        <v>520</v>
      </c>
      <c r="F7" s="2"/>
      <c r="G7" s="2">
        <v>520</v>
      </c>
      <c r="H7" s="2">
        <v>510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8" customHeight="1">
      <c r="A8" s="11" t="s">
        <v>9</v>
      </c>
      <c r="B8" s="9"/>
      <c r="C8" s="2"/>
      <c r="D8" s="2">
        <v>2800</v>
      </c>
      <c r="E8" s="2">
        <v>3000</v>
      </c>
      <c r="F8" s="2"/>
      <c r="G8" s="2">
        <v>3000</v>
      </c>
      <c r="H8" s="2">
        <v>2900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8" customHeight="1">
      <c r="A9" s="11" t="s">
        <v>10</v>
      </c>
      <c r="B9" s="9"/>
      <c r="C9" s="2"/>
      <c r="D9" s="2">
        <v>4690</v>
      </c>
      <c r="E9" s="2">
        <v>4600</v>
      </c>
      <c r="F9" s="2"/>
      <c r="G9" s="2">
        <v>4600</v>
      </c>
      <c r="H9" s="2">
        <v>4500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8" customHeight="1">
      <c r="A10" s="11" t="s">
        <v>11</v>
      </c>
      <c r="B10" s="9"/>
      <c r="C10" s="2"/>
      <c r="D10" s="2">
        <v>6800</v>
      </c>
      <c r="E10" s="2">
        <v>6300</v>
      </c>
      <c r="F10" s="2"/>
      <c r="G10" s="2">
        <v>6200</v>
      </c>
      <c r="H10" s="2">
        <v>6000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8" customHeight="1">
      <c r="A11" s="10" t="s">
        <v>12</v>
      </c>
      <c r="B11" s="9"/>
      <c r="C11" s="3"/>
      <c r="D11" s="3"/>
      <c r="E11" s="3"/>
      <c r="F11" s="3"/>
      <c r="G11" s="3"/>
      <c r="H11" s="3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8" customHeight="1">
      <c r="A12" s="11" t="s">
        <v>13</v>
      </c>
      <c r="B12" s="9"/>
      <c r="C12" s="2">
        <v>129</v>
      </c>
      <c r="D12" s="2">
        <v>138</v>
      </c>
      <c r="E12" s="2">
        <v>130</v>
      </c>
      <c r="F12" s="2"/>
      <c r="G12" s="2">
        <v>138</v>
      </c>
      <c r="H12" s="2">
        <v>130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8" customHeight="1">
      <c r="A13" s="12" t="s">
        <v>86</v>
      </c>
      <c r="B13" s="9"/>
      <c r="C13" s="2"/>
      <c r="D13" s="2">
        <v>858</v>
      </c>
      <c r="E13" s="2">
        <v>850</v>
      </c>
      <c r="F13" s="2"/>
      <c r="G13" s="2">
        <v>950</v>
      </c>
      <c r="H13" s="2">
        <v>900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8" customHeight="1">
      <c r="A14" s="12" t="s">
        <v>87</v>
      </c>
      <c r="B14" s="11"/>
      <c r="C14" s="2"/>
      <c r="D14" s="2"/>
      <c r="E14" s="2">
        <v>400</v>
      </c>
      <c r="F14" s="2"/>
      <c r="G14" s="2">
        <v>400</v>
      </c>
      <c r="H14" s="2">
        <v>380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8" customHeight="1">
      <c r="A15" s="11" t="s">
        <v>14</v>
      </c>
      <c r="B15" s="9"/>
      <c r="C15" s="2">
        <v>237</v>
      </c>
      <c r="D15" s="2">
        <v>223</v>
      </c>
      <c r="E15" s="2">
        <v>235</v>
      </c>
      <c r="F15" s="2"/>
      <c r="G15" s="2">
        <v>245</v>
      </c>
      <c r="H15" s="2">
        <v>235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8" customHeight="1">
      <c r="A16" s="11" t="s">
        <v>15</v>
      </c>
      <c r="B16" s="9"/>
      <c r="C16" s="2"/>
      <c r="D16" s="2">
        <v>1038</v>
      </c>
      <c r="E16" s="2">
        <v>999</v>
      </c>
      <c r="F16" s="2"/>
      <c r="G16" s="2">
        <v>1000</v>
      </c>
      <c r="H16" s="2">
        <v>970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8" customHeight="1">
      <c r="A17" s="10" t="s">
        <v>16</v>
      </c>
      <c r="B17" s="9"/>
      <c r="C17" s="3"/>
      <c r="D17" s="3"/>
      <c r="E17" s="3"/>
      <c r="F17" s="3"/>
      <c r="G17" s="3"/>
      <c r="H17" s="3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8" customHeight="1">
      <c r="A18" s="11" t="s">
        <v>17</v>
      </c>
      <c r="B18" s="9"/>
      <c r="C18" s="2"/>
      <c r="D18" s="2">
        <v>89</v>
      </c>
      <c r="E18" s="4">
        <v>85</v>
      </c>
      <c r="F18" s="2"/>
      <c r="G18" s="2">
        <v>85</v>
      </c>
      <c r="H18" s="2">
        <v>80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8" customHeight="1">
      <c r="A19" s="11" t="s">
        <v>18</v>
      </c>
      <c r="B19" s="9"/>
      <c r="C19" s="2"/>
      <c r="D19" s="2">
        <v>232</v>
      </c>
      <c r="E19" s="2">
        <v>230</v>
      </c>
      <c r="F19" s="2"/>
      <c r="G19" s="2">
        <v>230</v>
      </c>
      <c r="H19" s="2">
        <v>220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8" customHeight="1">
      <c r="A20" s="11" t="s">
        <v>19</v>
      </c>
      <c r="B20" s="9"/>
      <c r="C20" s="2"/>
      <c r="D20" s="2">
        <v>1398</v>
      </c>
      <c r="E20" s="2">
        <v>1350</v>
      </c>
      <c r="F20" s="2"/>
      <c r="G20" s="2">
        <v>1350</v>
      </c>
      <c r="H20" s="2">
        <v>1320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8" customHeight="1">
      <c r="A21" s="11" t="s">
        <v>20</v>
      </c>
      <c r="B21" s="9"/>
      <c r="C21" s="2">
        <v>77</v>
      </c>
      <c r="D21" s="2">
        <v>88</v>
      </c>
      <c r="E21" s="2">
        <v>93</v>
      </c>
      <c r="F21" s="2"/>
      <c r="G21" s="2">
        <v>90</v>
      </c>
      <c r="H21" s="2">
        <v>85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8" customHeight="1">
      <c r="A22" s="11" t="s">
        <v>21</v>
      </c>
      <c r="B22" s="9"/>
      <c r="C22" s="2">
        <v>200</v>
      </c>
      <c r="D22" s="2">
        <v>209</v>
      </c>
      <c r="E22" s="4">
        <v>199</v>
      </c>
      <c r="F22" s="2"/>
      <c r="G22" s="2">
        <v>220</v>
      </c>
      <c r="H22" s="2">
        <v>200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8" customHeight="1">
      <c r="A23" s="13" t="s">
        <v>22</v>
      </c>
      <c r="B23" s="9"/>
      <c r="C23" s="5"/>
      <c r="D23" s="5"/>
      <c r="E23" s="5">
        <v>199</v>
      </c>
      <c r="F23" s="2"/>
      <c r="G23" s="2">
        <v>199</v>
      </c>
      <c r="H23" s="2">
        <v>180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8" customHeight="1">
      <c r="A24" s="13" t="s">
        <v>23</v>
      </c>
      <c r="B24" s="9"/>
      <c r="C24" s="5"/>
      <c r="D24" s="5"/>
      <c r="E24" s="5">
        <v>199</v>
      </c>
      <c r="F24" s="2"/>
      <c r="G24" s="2">
        <v>199</v>
      </c>
      <c r="H24" s="2">
        <v>180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8" customHeight="1">
      <c r="A25" s="10" t="s">
        <v>24</v>
      </c>
      <c r="B25" s="9"/>
      <c r="C25" s="3"/>
      <c r="D25" s="3"/>
      <c r="E25" s="3"/>
      <c r="F25" s="3"/>
      <c r="G25" s="3"/>
      <c r="H25" s="3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8" customHeight="1">
      <c r="A26" s="11" t="s">
        <v>25</v>
      </c>
      <c r="B26" s="9"/>
      <c r="C26" s="2"/>
      <c r="D26" s="2"/>
      <c r="E26" s="2">
        <v>62</v>
      </c>
      <c r="F26" s="2"/>
      <c r="G26" s="2">
        <v>62</v>
      </c>
      <c r="H26" s="2">
        <f>G26-5</f>
        <v>57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8" customHeight="1">
      <c r="A27" s="11" t="s">
        <v>26</v>
      </c>
      <c r="B27" s="9"/>
      <c r="C27" s="2"/>
      <c r="D27" s="2"/>
      <c r="E27" s="2">
        <v>90</v>
      </c>
      <c r="F27" s="2"/>
      <c r="G27" s="2">
        <v>90</v>
      </c>
      <c r="H27" s="2">
        <f t="shared" ref="H27:H32" si="0">G27-5</f>
        <v>85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8" customHeight="1">
      <c r="A28" s="11" t="s">
        <v>27</v>
      </c>
      <c r="B28" s="9"/>
      <c r="C28" s="2"/>
      <c r="D28" s="2"/>
      <c r="E28" s="2">
        <v>130</v>
      </c>
      <c r="F28" s="2"/>
      <c r="G28" s="2">
        <v>130</v>
      </c>
      <c r="H28" s="2">
        <f t="shared" si="0"/>
        <v>125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8" customHeight="1">
      <c r="A29" s="11" t="s">
        <v>28</v>
      </c>
      <c r="B29" s="9"/>
      <c r="C29" s="2"/>
      <c r="D29" s="2"/>
      <c r="E29" s="2">
        <v>135</v>
      </c>
      <c r="F29" s="2"/>
      <c r="G29" s="2">
        <v>135</v>
      </c>
      <c r="H29" s="2">
        <f t="shared" si="0"/>
        <v>130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8" customHeight="1">
      <c r="A30" s="11" t="s">
        <v>29</v>
      </c>
      <c r="B30" s="9"/>
      <c r="C30" s="2"/>
      <c r="D30" s="2"/>
      <c r="E30" s="2">
        <v>145</v>
      </c>
      <c r="F30" s="2"/>
      <c r="G30" s="2">
        <v>145</v>
      </c>
      <c r="H30" s="2">
        <f t="shared" si="0"/>
        <v>140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8" customHeight="1">
      <c r="A31" s="11" t="s">
        <v>30</v>
      </c>
      <c r="B31" s="9"/>
      <c r="C31" s="2"/>
      <c r="D31" s="2"/>
      <c r="E31" s="2">
        <v>170</v>
      </c>
      <c r="F31" s="2"/>
      <c r="G31" s="2">
        <v>170</v>
      </c>
      <c r="H31" s="2">
        <f t="shared" si="0"/>
        <v>165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8" customHeight="1">
      <c r="A32" s="11" t="s">
        <v>31</v>
      </c>
      <c r="B32" s="9"/>
      <c r="C32" s="2"/>
      <c r="D32" s="2"/>
      <c r="E32" s="2">
        <v>175</v>
      </c>
      <c r="F32" s="2"/>
      <c r="G32" s="2">
        <v>175</v>
      </c>
      <c r="H32" s="2">
        <f t="shared" si="0"/>
        <v>170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8" customHeight="1">
      <c r="A33" s="11" t="s">
        <v>32</v>
      </c>
      <c r="B33" s="9"/>
      <c r="C33" s="2"/>
      <c r="D33" s="2"/>
      <c r="E33" s="2">
        <v>200</v>
      </c>
      <c r="F33" s="2"/>
      <c r="G33" s="2">
        <v>200</v>
      </c>
      <c r="H33" s="2">
        <f>G33-10</f>
        <v>190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8" customHeight="1">
      <c r="A34" s="11" t="s">
        <v>33</v>
      </c>
      <c r="B34" s="9"/>
      <c r="C34" s="2"/>
      <c r="D34" s="2"/>
      <c r="E34" s="2">
        <v>205</v>
      </c>
      <c r="F34" s="2"/>
      <c r="G34" s="2">
        <v>205</v>
      </c>
      <c r="H34" s="2">
        <f t="shared" ref="H34:H35" si="1">G34-10</f>
        <v>195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8" customHeight="1">
      <c r="A35" s="11" t="s">
        <v>34</v>
      </c>
      <c r="B35" s="9"/>
      <c r="C35" s="2"/>
      <c r="D35" s="2"/>
      <c r="E35" s="2">
        <v>225</v>
      </c>
      <c r="F35" s="2"/>
      <c r="G35" s="2">
        <v>225</v>
      </c>
      <c r="H35" s="2">
        <f t="shared" si="1"/>
        <v>215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8" customHeight="1">
      <c r="A36" s="11" t="s">
        <v>35</v>
      </c>
      <c r="B36" s="9"/>
      <c r="C36" s="2"/>
      <c r="D36" s="2"/>
      <c r="E36" s="2">
        <v>415</v>
      </c>
      <c r="F36" s="2"/>
      <c r="G36" s="2">
        <v>415</v>
      </c>
      <c r="H36" s="2">
        <f>G36-15</f>
        <v>400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8" customHeight="1">
      <c r="A37" s="11" t="s">
        <v>36</v>
      </c>
      <c r="B37" s="9"/>
      <c r="C37" s="2"/>
      <c r="D37" s="2"/>
      <c r="E37" s="2">
        <v>425</v>
      </c>
      <c r="F37" s="2"/>
      <c r="G37" s="2">
        <v>425</v>
      </c>
      <c r="H37" s="2">
        <f t="shared" ref="H37:H38" si="2">G37-15</f>
        <v>410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8" customHeight="1">
      <c r="A38" s="11" t="s">
        <v>37</v>
      </c>
      <c r="B38" s="9"/>
      <c r="C38" s="2"/>
      <c r="D38" s="2"/>
      <c r="E38" s="2">
        <v>435</v>
      </c>
      <c r="F38" s="2"/>
      <c r="G38" s="2">
        <v>435</v>
      </c>
      <c r="H38" s="2">
        <f t="shared" si="2"/>
        <v>420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8" customHeight="1">
      <c r="A39" s="10" t="s">
        <v>38</v>
      </c>
      <c r="B39" s="9"/>
      <c r="C39" s="3"/>
      <c r="D39" s="3"/>
      <c r="E39" s="3"/>
      <c r="F39" s="3"/>
      <c r="G39" s="3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8" customHeight="1">
      <c r="A40" s="11" t="s">
        <v>39</v>
      </c>
      <c r="B40" s="9"/>
      <c r="C40" s="2"/>
      <c r="D40" s="2"/>
      <c r="E40" s="2">
        <v>40</v>
      </c>
      <c r="F40" s="2"/>
      <c r="G40" s="2">
        <v>40</v>
      </c>
      <c r="H40" s="2">
        <f>G40-2</f>
        <v>38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11" t="s">
        <v>40</v>
      </c>
      <c r="B41" s="9"/>
      <c r="C41" s="2"/>
      <c r="D41" s="2"/>
      <c r="E41" s="2">
        <v>60</v>
      </c>
      <c r="F41" s="2"/>
      <c r="G41" s="2">
        <v>60</v>
      </c>
      <c r="H41" s="2">
        <f t="shared" ref="H41:H47" si="3">G41-2</f>
        <v>58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11" t="s">
        <v>41</v>
      </c>
      <c r="B42" s="9"/>
      <c r="C42" s="2"/>
      <c r="D42" s="2"/>
      <c r="E42" s="2">
        <v>61</v>
      </c>
      <c r="F42" s="2"/>
      <c r="G42" s="2">
        <v>61</v>
      </c>
      <c r="H42" s="2">
        <f t="shared" si="3"/>
        <v>59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11" t="s">
        <v>42</v>
      </c>
      <c r="B43" s="9"/>
      <c r="C43" s="2"/>
      <c r="D43" s="2"/>
      <c r="E43" s="2">
        <v>69</v>
      </c>
      <c r="F43" s="2"/>
      <c r="G43" s="2">
        <v>69</v>
      </c>
      <c r="H43" s="2">
        <f t="shared" si="3"/>
        <v>67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11" t="s">
        <v>43</v>
      </c>
      <c r="B44" s="9"/>
      <c r="C44" s="2"/>
      <c r="D44" s="2"/>
      <c r="E44" s="2">
        <v>55</v>
      </c>
      <c r="F44" s="2"/>
      <c r="G44" s="2">
        <v>55</v>
      </c>
      <c r="H44" s="2">
        <f t="shared" si="3"/>
        <v>53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11" t="s">
        <v>44</v>
      </c>
      <c r="B45" s="9"/>
      <c r="C45" s="2"/>
      <c r="D45" s="2"/>
      <c r="E45" s="2">
        <v>62</v>
      </c>
      <c r="F45" s="2"/>
      <c r="G45" s="2">
        <v>62</v>
      </c>
      <c r="H45" s="2">
        <f t="shared" si="3"/>
        <v>60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11" t="s">
        <v>45</v>
      </c>
      <c r="B46" s="9"/>
      <c r="C46" s="2"/>
      <c r="D46" s="2"/>
      <c r="E46" s="2">
        <v>77</v>
      </c>
      <c r="F46" s="2"/>
      <c r="G46" s="2">
        <v>77</v>
      </c>
      <c r="H46" s="2">
        <f t="shared" si="3"/>
        <v>75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11" t="s">
        <v>46</v>
      </c>
      <c r="B47" s="9"/>
      <c r="C47" s="2"/>
      <c r="D47" s="2"/>
      <c r="E47" s="2">
        <v>85</v>
      </c>
      <c r="F47" s="2"/>
      <c r="G47" s="2">
        <v>85</v>
      </c>
      <c r="H47" s="2">
        <f t="shared" si="3"/>
        <v>83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11" t="s">
        <v>47</v>
      </c>
      <c r="B48" s="9"/>
      <c r="C48" s="2"/>
      <c r="D48" s="2"/>
      <c r="E48" s="2">
        <v>105</v>
      </c>
      <c r="F48" s="2"/>
      <c r="G48" s="2">
        <v>105</v>
      </c>
      <c r="H48" s="2">
        <f>G48-5</f>
        <v>100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11" t="s">
        <v>48</v>
      </c>
      <c r="B49" s="9"/>
      <c r="C49" s="2"/>
      <c r="D49" s="2"/>
      <c r="E49" s="2">
        <v>125</v>
      </c>
      <c r="F49" s="2"/>
      <c r="G49" s="2">
        <v>125</v>
      </c>
      <c r="H49" s="2">
        <f t="shared" ref="H49:H51" si="4">G49-5</f>
        <v>120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11" t="s">
        <v>49</v>
      </c>
      <c r="B50" s="9"/>
      <c r="C50" s="2"/>
      <c r="D50" s="2"/>
      <c r="E50" s="2">
        <v>140</v>
      </c>
      <c r="F50" s="2"/>
      <c r="G50" s="2">
        <v>140</v>
      </c>
      <c r="H50" s="2">
        <f t="shared" si="4"/>
        <v>135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11" t="s">
        <v>50</v>
      </c>
      <c r="B51" s="9"/>
      <c r="C51" s="2"/>
      <c r="D51" s="2"/>
      <c r="E51" s="2">
        <v>160</v>
      </c>
      <c r="F51" s="2"/>
      <c r="G51" s="2">
        <v>160</v>
      </c>
      <c r="H51" s="2">
        <f t="shared" si="4"/>
        <v>155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11" t="s">
        <v>51</v>
      </c>
      <c r="B52" s="9"/>
      <c r="C52" s="2"/>
      <c r="D52" s="2"/>
      <c r="E52" s="2">
        <v>285</v>
      </c>
      <c r="F52" s="2"/>
      <c r="G52" s="2">
        <v>285</v>
      </c>
      <c r="H52" s="2">
        <f>G52-15</f>
        <v>270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11" t="s">
        <v>52</v>
      </c>
      <c r="B53" s="9"/>
      <c r="C53" s="2"/>
      <c r="D53" s="2"/>
      <c r="E53" s="2">
        <v>335</v>
      </c>
      <c r="F53" s="2"/>
      <c r="G53" s="2">
        <v>335</v>
      </c>
      <c r="H53" s="2">
        <f>G53-15</f>
        <v>320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10" t="s">
        <v>53</v>
      </c>
      <c r="B54" s="9"/>
      <c r="C54" s="3"/>
      <c r="D54" s="3"/>
      <c r="E54" s="3"/>
      <c r="F54" s="3"/>
      <c r="G54" s="3"/>
      <c r="H54" s="3"/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11" t="s">
        <v>54</v>
      </c>
      <c r="B55" s="9"/>
      <c r="C55" s="2"/>
      <c r="D55" s="2"/>
      <c r="E55" s="2">
        <v>199</v>
      </c>
      <c r="F55" s="2"/>
      <c r="G55" s="2">
        <v>199</v>
      </c>
      <c r="H55" s="2">
        <v>180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11" t="s">
        <v>55</v>
      </c>
      <c r="B56" s="9"/>
      <c r="C56" s="2"/>
      <c r="D56" s="2"/>
      <c r="E56" s="2">
        <v>399</v>
      </c>
      <c r="F56" s="2"/>
      <c r="G56" s="2">
        <v>399</v>
      </c>
      <c r="H56" s="2">
        <v>380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11" t="s">
        <v>56</v>
      </c>
      <c r="B57" s="9"/>
      <c r="C57" s="2"/>
      <c r="D57" s="2"/>
      <c r="E57" s="2">
        <v>129</v>
      </c>
      <c r="F57" s="2"/>
      <c r="G57" s="2">
        <v>110</v>
      </c>
      <c r="H57" s="2">
        <v>100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11" t="s">
        <v>57</v>
      </c>
      <c r="B58" s="9"/>
      <c r="C58" s="2"/>
      <c r="D58" s="2"/>
      <c r="E58" s="2">
        <v>199</v>
      </c>
      <c r="F58" s="2"/>
      <c r="G58" s="2">
        <v>199</v>
      </c>
      <c r="H58" s="2">
        <v>190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11" t="s">
        <v>58</v>
      </c>
      <c r="B59" s="9"/>
      <c r="C59" s="2"/>
      <c r="D59" s="2">
        <v>228</v>
      </c>
      <c r="E59" s="2">
        <v>199</v>
      </c>
      <c r="F59" s="2"/>
      <c r="G59" s="2">
        <v>210</v>
      </c>
      <c r="H59" s="2">
        <v>190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11" t="s">
        <v>59</v>
      </c>
      <c r="B60" s="9"/>
      <c r="C60" s="2"/>
      <c r="D60" s="2">
        <v>340</v>
      </c>
      <c r="E60" s="4">
        <v>299</v>
      </c>
      <c r="F60" s="2"/>
      <c r="G60" s="4">
        <v>300</v>
      </c>
      <c r="H60" s="2">
        <v>290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11" t="s">
        <v>60</v>
      </c>
      <c r="B61" s="9"/>
      <c r="C61" s="2"/>
      <c r="D61" s="2"/>
      <c r="E61" s="4">
        <v>599</v>
      </c>
      <c r="F61" s="2"/>
      <c r="G61" s="4">
        <v>599</v>
      </c>
      <c r="H61" s="2">
        <v>570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11" t="s">
        <v>61</v>
      </c>
      <c r="B62" s="9"/>
      <c r="C62" s="2"/>
      <c r="D62" s="2"/>
      <c r="E62" s="4">
        <v>1399</v>
      </c>
      <c r="F62" s="2"/>
      <c r="G62" s="4">
        <v>1150</v>
      </c>
      <c r="H62" s="2">
        <v>1125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11" t="s">
        <v>62</v>
      </c>
      <c r="B63" s="9"/>
      <c r="C63" s="2"/>
      <c r="D63" s="2"/>
      <c r="E63" s="4">
        <v>3399</v>
      </c>
      <c r="F63" s="2"/>
      <c r="G63" s="4">
        <v>2800</v>
      </c>
      <c r="H63" s="2">
        <v>2500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11" t="s">
        <v>63</v>
      </c>
      <c r="B64" s="9"/>
      <c r="C64" s="2"/>
      <c r="D64" s="2"/>
      <c r="E64" s="4">
        <v>5399</v>
      </c>
      <c r="F64" s="2"/>
      <c r="G64" s="4">
        <v>5100</v>
      </c>
      <c r="H64" s="2">
        <v>4800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10" t="s">
        <v>64</v>
      </c>
      <c r="B65" s="9"/>
      <c r="C65" s="3"/>
      <c r="D65" s="3"/>
      <c r="E65" s="3"/>
      <c r="F65" s="3"/>
      <c r="G65" s="3"/>
      <c r="H65" s="3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11" t="s">
        <v>65</v>
      </c>
      <c r="B66" s="9"/>
      <c r="C66" s="2"/>
      <c r="D66" s="2">
        <v>324</v>
      </c>
      <c r="E66" s="2">
        <v>285</v>
      </c>
      <c r="F66" s="2"/>
      <c r="G66" s="2">
        <v>285</v>
      </c>
      <c r="H66" s="2">
        <v>270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11" t="s">
        <v>66</v>
      </c>
      <c r="B67" s="9"/>
      <c r="C67" s="2"/>
      <c r="D67" s="2">
        <v>263</v>
      </c>
      <c r="E67" s="2">
        <v>249</v>
      </c>
      <c r="F67" s="2"/>
      <c r="G67" s="2">
        <v>249</v>
      </c>
      <c r="H67" s="2">
        <v>230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11" t="s">
        <v>67</v>
      </c>
      <c r="B68" s="9"/>
      <c r="C68" s="2"/>
      <c r="D68" s="2">
        <v>496</v>
      </c>
      <c r="E68" s="2">
        <v>485</v>
      </c>
      <c r="F68" s="2"/>
      <c r="G68" s="2">
        <v>485</v>
      </c>
      <c r="H68" s="2">
        <v>470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11" t="s">
        <v>68</v>
      </c>
      <c r="B69" s="9"/>
      <c r="C69" s="2"/>
      <c r="D69" s="2">
        <v>88</v>
      </c>
      <c r="E69" s="2">
        <v>99</v>
      </c>
      <c r="F69" s="2"/>
      <c r="G69" s="2">
        <v>99</v>
      </c>
      <c r="H69" s="2">
        <v>88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11" t="s">
        <v>69</v>
      </c>
      <c r="B70" s="9"/>
      <c r="C70" s="2"/>
      <c r="D70" s="2">
        <v>116</v>
      </c>
      <c r="E70" s="4">
        <v>109</v>
      </c>
      <c r="F70" s="2"/>
      <c r="G70" s="2">
        <v>99</v>
      </c>
      <c r="H70" s="2">
        <v>95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11" t="s">
        <v>70</v>
      </c>
      <c r="B71" s="9"/>
      <c r="C71" s="2"/>
      <c r="D71" s="2">
        <v>124</v>
      </c>
      <c r="E71" s="4">
        <v>115</v>
      </c>
      <c r="F71" s="2"/>
      <c r="G71" s="2">
        <v>105</v>
      </c>
      <c r="H71" s="2">
        <v>100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13" t="s">
        <v>71</v>
      </c>
      <c r="B72" s="9"/>
      <c r="C72" s="5"/>
      <c r="D72" s="5"/>
      <c r="E72" s="5">
        <v>60</v>
      </c>
      <c r="F72" s="2"/>
      <c r="G72" s="2">
        <v>60</v>
      </c>
      <c r="H72" s="2">
        <v>55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13" t="s">
        <v>72</v>
      </c>
      <c r="B73" s="9"/>
      <c r="C73" s="5"/>
      <c r="D73" s="5"/>
      <c r="E73" s="5">
        <v>60</v>
      </c>
      <c r="F73" s="2"/>
      <c r="G73" s="2">
        <v>60</v>
      </c>
      <c r="H73" s="2">
        <v>55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13" t="s">
        <v>73</v>
      </c>
      <c r="B74" s="9"/>
      <c r="C74" s="5"/>
      <c r="D74" s="5"/>
      <c r="E74" s="5">
        <v>68</v>
      </c>
      <c r="F74" s="2"/>
      <c r="G74" s="2">
        <v>58</v>
      </c>
      <c r="H74" s="2">
        <v>38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11" t="s">
        <v>74</v>
      </c>
      <c r="B75" s="9"/>
      <c r="C75" s="2"/>
      <c r="D75" s="2">
        <v>210</v>
      </c>
      <c r="E75" s="2">
        <v>230</v>
      </c>
      <c r="F75" s="2"/>
      <c r="G75" s="2">
        <v>230</v>
      </c>
      <c r="H75" s="2">
        <v>210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12" t="s">
        <v>75</v>
      </c>
      <c r="B76" s="9"/>
      <c r="C76" s="2"/>
      <c r="D76" s="2"/>
      <c r="E76" s="4">
        <v>650</v>
      </c>
      <c r="F76" s="2"/>
      <c r="G76" s="2">
        <v>650</v>
      </c>
      <c r="H76" s="2">
        <v>630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11" t="s">
        <v>76</v>
      </c>
      <c r="B77" s="9"/>
      <c r="C77" s="2"/>
      <c r="D77" s="2"/>
      <c r="E77" s="4">
        <v>670</v>
      </c>
      <c r="F77" s="2"/>
      <c r="G77" s="2">
        <v>670</v>
      </c>
      <c r="H77" s="2">
        <v>650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11" t="s">
        <v>77</v>
      </c>
      <c r="B78" s="9"/>
      <c r="C78" s="2"/>
      <c r="D78" s="2"/>
      <c r="E78" s="4">
        <v>720</v>
      </c>
      <c r="F78" s="2"/>
      <c r="G78" s="2">
        <v>720</v>
      </c>
      <c r="H78" s="2">
        <v>700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11" t="s">
        <v>78</v>
      </c>
      <c r="B79" s="9"/>
      <c r="C79" s="2"/>
      <c r="D79" s="2"/>
      <c r="E79" s="4">
        <v>770</v>
      </c>
      <c r="F79" s="2"/>
      <c r="G79" s="2">
        <v>770</v>
      </c>
      <c r="H79" s="2">
        <v>750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13" t="s">
        <v>79</v>
      </c>
      <c r="B80" s="9"/>
      <c r="C80" s="5"/>
      <c r="D80" s="5"/>
      <c r="E80" s="5">
        <v>6</v>
      </c>
      <c r="F80" s="14" t="s">
        <v>80</v>
      </c>
      <c r="G80" s="7">
        <v>6</v>
      </c>
      <c r="H80" s="7">
        <v>5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13" t="s">
        <v>81</v>
      </c>
      <c r="B81" s="9"/>
      <c r="C81" s="5"/>
      <c r="D81" s="5"/>
      <c r="E81" s="5">
        <v>120</v>
      </c>
      <c r="F81" s="14"/>
      <c r="G81" s="7">
        <v>6</v>
      </c>
      <c r="H81" s="7">
        <v>5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</sheetData>
  <mergeCells count="82">
    <mergeCell ref="A72:B72"/>
    <mergeCell ref="A73:B73"/>
    <mergeCell ref="A74:B74"/>
    <mergeCell ref="A75:B75"/>
    <mergeCell ref="A76:B76"/>
    <mergeCell ref="F80:F81"/>
    <mergeCell ref="A77:B77"/>
    <mergeCell ref="A78:B78"/>
    <mergeCell ref="A79:B79"/>
    <mergeCell ref="A80:B80"/>
    <mergeCell ref="A81:B81"/>
    <mergeCell ref="A71:B7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11:B11"/>
    <mergeCell ref="A12:B12"/>
    <mergeCell ref="A13:B13"/>
    <mergeCell ref="A15:B15"/>
    <mergeCell ref="A16:B16"/>
    <mergeCell ref="A14:B14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A5:B5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2026-05-05T02:10:29Z</dcterms:created>
  <dcterms:modified xsi:type="dcterms:W3CDTF">2026-05-10T16:04:34Z</dcterms:modified>
</cp:coreProperties>
</file>